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 Goel\Downloads\"/>
    </mc:Choice>
  </mc:AlternateContent>
  <xr:revisionPtr revIDLastSave="0" documentId="8_{85433C23-EAAF-4366-A5D9-60ACBC8D03A3}" xr6:coauthVersionLast="47" xr6:coauthVersionMax="47" xr10:uidLastSave="{00000000-0000-0000-0000-000000000000}"/>
  <bookViews>
    <workbookView xWindow="-108" yWindow="-108" windowWidth="23256" windowHeight="12456" xr2:uid="{DE3206CC-18A7-4C22-A17A-D189A709545B}"/>
  </bookViews>
  <sheets>
    <sheet name="Ass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9" i="1" l="1"/>
  <c r="D89" i="1"/>
  <c r="D90" i="1"/>
  <c r="D91" i="1"/>
  <c r="D92" i="1"/>
  <c r="D93" i="1"/>
  <c r="D88" i="1"/>
  <c r="E162" i="1"/>
  <c r="F154" i="1"/>
  <c r="G154" i="1" s="1"/>
  <c r="H154" i="1" s="1"/>
  <c r="F155" i="1"/>
  <c r="G155" i="1" s="1"/>
  <c r="H155" i="1" s="1"/>
  <c r="F156" i="1"/>
  <c r="G156" i="1" s="1"/>
  <c r="H156" i="1" s="1"/>
  <c r="F153" i="1"/>
  <c r="G153" i="1" s="1"/>
  <c r="H153" i="1" s="1"/>
  <c r="F143" i="1"/>
  <c r="F142" i="1"/>
  <c r="E143" i="1"/>
  <c r="E142" i="1"/>
  <c r="F53" i="1"/>
  <c r="E46" i="1"/>
  <c r="D97" i="1" l="1"/>
  <c r="G93" i="1"/>
  <c r="E104" i="1" s="1"/>
</calcChain>
</file>

<file path=xl/sharedStrings.xml><?xml version="1.0" encoding="utf-8"?>
<sst xmlns="http://schemas.openxmlformats.org/spreadsheetml/2006/main" count="125" uniqueCount="106">
  <si>
    <t xml:space="preserve">Q1. </t>
  </si>
  <si>
    <t>What is a null hypothesis (H₀) and why is it important in hypothesis testing?</t>
  </si>
  <si>
    <t>Null hypothesis is a statement which simply assumes no diffrenece, no effect  and no relationship exists in the population.</t>
  </si>
  <si>
    <t>It represents the claim that any observed difference in sample data is due to random chance.</t>
  </si>
  <si>
    <t>Why is the Null Hypothesis Important?</t>
  </si>
  <si>
    <t>Provides a Starting Point</t>
  </si>
  <si>
    <t>Basis for Statistical Testing</t>
  </si>
  <si>
    <t>Enables Objective Decision-Making</t>
  </si>
  <si>
    <t>Prevents Biased Conclusions</t>
  </si>
  <si>
    <t xml:space="preserve">Q2. </t>
  </si>
  <si>
    <t>What does the significance level (α) represent in hypothesis testing?</t>
  </si>
  <si>
    <t>The significance level (α) is the maximum probability of making a wrong decision by rejecting a true null hypothesis.</t>
  </si>
  <si>
    <t xml:space="preserve">Q3. </t>
  </si>
  <si>
    <t>Differentiate between Type I and Type II errors</t>
  </si>
  <si>
    <t xml:space="preserve"> </t>
  </si>
  <si>
    <t xml:space="preserve">Q4. </t>
  </si>
  <si>
    <t>Explain the difference between a one-tailed and two-tailed test. Give an example of each.</t>
  </si>
  <si>
    <t xml:space="preserve">Q5. </t>
  </si>
  <si>
    <t>A company claims that the average time to resolve a customer complaint is 10 minutes. A random sample of 9 complaints gives an average time of 12 minutes and a standard deviation of 3 minutes. At α = 0.05, test the claim.</t>
  </si>
  <si>
    <t xml:space="preserve">Given: </t>
  </si>
  <si>
    <t>sample std(</t>
  </si>
  <si>
    <t xml:space="preserve">Step 1: </t>
  </si>
  <si>
    <t>Frame hypothesis :-</t>
  </si>
  <si>
    <t xml:space="preserve">sample size (n) = </t>
  </si>
  <si>
    <t xml:space="preserve">(σ)= </t>
  </si>
  <si>
    <t xml:space="preserve">Step 2: </t>
  </si>
  <si>
    <t>Sample data is less than 30 so we use t-test</t>
  </si>
  <si>
    <t xml:space="preserve">Step 3: </t>
  </si>
  <si>
    <t>Calculate T- value</t>
  </si>
  <si>
    <t xml:space="preserve">t value = </t>
  </si>
  <si>
    <t xml:space="preserve">Step 4: </t>
  </si>
  <si>
    <t>Compare calculated t with critical t</t>
  </si>
  <si>
    <t>SL= 0.05</t>
  </si>
  <si>
    <t>Type =  two tail test</t>
  </si>
  <si>
    <t xml:space="preserve">Degree of freedom(df) = </t>
  </si>
  <si>
    <t xml:space="preserve">Check critical t in table = </t>
  </si>
  <si>
    <t>Calculated t</t>
  </si>
  <si>
    <t>Critical t</t>
  </si>
  <si>
    <t>&lt;</t>
  </si>
  <si>
    <t>n-1</t>
  </si>
  <si>
    <t>Q6.</t>
  </si>
  <si>
    <t>When should you use a Z-test instead of a t-test?</t>
  </si>
  <si>
    <t>Q7.</t>
  </si>
  <si>
    <t>The productivity of 6 employees was measured before and after a training program.</t>
  </si>
  <si>
    <t>Employee</t>
  </si>
  <si>
    <t>Before</t>
  </si>
  <si>
    <t xml:space="preserve">After </t>
  </si>
  <si>
    <t>Total</t>
  </si>
  <si>
    <t>At α = 0.05, test if the training improved productivity.</t>
  </si>
  <si>
    <t>Expected frequencies</t>
  </si>
  <si>
    <t>e = (Row total *column total)/ grand total</t>
  </si>
  <si>
    <t xml:space="preserve">where, </t>
  </si>
  <si>
    <t xml:space="preserve">o= observed frequency </t>
  </si>
  <si>
    <t>e= expected frequency</t>
  </si>
  <si>
    <t>o</t>
  </si>
  <si>
    <t>e</t>
  </si>
  <si>
    <t>(o-e)</t>
  </si>
  <si>
    <t>Q8.</t>
  </si>
  <si>
    <t>A company wants to test if product preference is independent of gender.</t>
  </si>
  <si>
    <t>Gender</t>
  </si>
  <si>
    <t>Male</t>
  </si>
  <si>
    <t>Female</t>
  </si>
  <si>
    <t>Product A</t>
  </si>
  <si>
    <t>Product B</t>
  </si>
  <si>
    <t>At α = 0.05, test independence</t>
  </si>
  <si>
    <t>Chi Square Formula</t>
  </si>
  <si>
    <t>Degree of freedom = (no. of row -1)*(no. of column -1)</t>
  </si>
  <si>
    <t xml:space="preserve">Step 5: </t>
  </si>
  <si>
    <t>Compare calculated value with critical value</t>
  </si>
  <si>
    <t>critical value= 3.841</t>
  </si>
  <si>
    <t>Calculated value</t>
  </si>
  <si>
    <t>critical value</t>
  </si>
  <si>
    <t>&gt;</t>
  </si>
  <si>
    <t>Fail to accept null hypothesis hence product preferance is dependent on gender.</t>
  </si>
  <si>
    <r>
      <t xml:space="preserve">Type I error: </t>
    </r>
    <r>
      <rPr>
        <sz val="11"/>
        <color theme="1"/>
        <rFont val="Times New Roman"/>
        <family val="1"/>
      </rPr>
      <t>Rejecting the null hypothesis when it is actually true</t>
    </r>
    <r>
      <rPr>
        <b/>
        <sz val="11"/>
        <color theme="1"/>
        <rFont val="Times New Roman"/>
        <family val="1"/>
      </rPr>
      <t>. i.e False positive</t>
    </r>
  </si>
  <si>
    <r>
      <rPr>
        <b/>
        <sz val="11"/>
        <color theme="1"/>
        <rFont val="Times New Roman"/>
        <family val="1"/>
      </rPr>
      <t>Type II error:</t>
    </r>
    <r>
      <rPr>
        <sz val="11"/>
        <color theme="1"/>
        <rFont val="Times New Roman"/>
        <family val="1"/>
      </rPr>
      <t xml:space="preserve"> Failing to reject the null hypothesis when it is actually false. i.e </t>
    </r>
    <r>
      <rPr>
        <b/>
        <sz val="11"/>
        <color theme="1"/>
        <rFont val="Times New Roman"/>
        <family val="1"/>
      </rPr>
      <t>False negative</t>
    </r>
  </si>
  <si>
    <r>
      <t xml:space="preserve">A </t>
    </r>
    <r>
      <rPr>
        <b/>
        <sz val="11"/>
        <color theme="1"/>
        <rFont val="Times New Roman"/>
        <family val="1"/>
      </rPr>
      <t>one-tailed test</t>
    </r>
    <r>
      <rPr>
        <sz val="11"/>
        <color theme="1"/>
        <rFont val="Times New Roman"/>
        <family val="1"/>
      </rPr>
      <t xml:space="preserve"> checks for an effect in only one direction: Either greater than OR less than, but not both.</t>
    </r>
  </si>
  <si>
    <r>
      <t xml:space="preserve">A </t>
    </r>
    <r>
      <rPr>
        <b/>
        <sz val="11"/>
        <color theme="1"/>
        <rFont val="Times New Roman"/>
        <family val="1"/>
      </rPr>
      <t>two-tailed test</t>
    </r>
    <r>
      <rPr>
        <sz val="11"/>
        <color theme="1"/>
        <rFont val="Times New Roman"/>
        <family val="1"/>
      </rPr>
      <t xml:space="preserve"> checks for an effect in both directions: It tests whether the parameter is different, either higher or lower.</t>
    </r>
  </si>
  <si>
    <t xml:space="preserve">SL(α) = </t>
  </si>
  <si>
    <t xml:space="preserve">population mean(μ) = </t>
  </si>
  <si>
    <t xml:space="preserve">sample mean(X̅) = </t>
  </si>
  <si>
    <r>
      <rPr>
        <b/>
        <sz val="11"/>
        <color theme="1"/>
        <rFont val="Times New Roman"/>
        <family val="1"/>
      </rPr>
      <t>Null Hypothesis(h0)</t>
    </r>
    <r>
      <rPr>
        <sz val="11"/>
        <color theme="1"/>
        <rFont val="Times New Roman"/>
        <family val="1"/>
      </rPr>
      <t xml:space="preserve"> : Avg. time to resolve customer complaint is equal to 10 minutes.</t>
    </r>
  </si>
  <si>
    <r>
      <t xml:space="preserve">Alternate Hypothesis(hA):  </t>
    </r>
    <r>
      <rPr>
        <sz val="11"/>
        <color theme="1"/>
        <rFont val="Times New Roman"/>
        <family val="1"/>
      </rPr>
      <t>Avg. time to resolve customer complaint is not equal to 10 minutes.</t>
    </r>
  </si>
  <si>
    <r>
      <t xml:space="preserve">We use a Z-test instead of a t-test when we have </t>
    </r>
    <r>
      <rPr>
        <b/>
        <sz val="11"/>
        <color theme="1"/>
        <rFont val="Times New Roman"/>
        <family val="1"/>
      </rPr>
      <t>sample size</t>
    </r>
    <r>
      <rPr>
        <sz val="11"/>
        <color theme="1"/>
        <rFont val="Times New Roman"/>
        <family val="1"/>
      </rPr>
      <t xml:space="preserve"> greater than 30 and </t>
    </r>
    <r>
      <rPr>
        <b/>
        <sz val="11"/>
        <color theme="1"/>
        <rFont val="Times New Roman"/>
        <family val="1"/>
      </rPr>
      <t>population deviatio</t>
    </r>
    <r>
      <rPr>
        <sz val="11"/>
        <color theme="1"/>
        <rFont val="Times New Roman"/>
        <family val="1"/>
      </rPr>
      <t>n is known.</t>
    </r>
  </si>
  <si>
    <r>
      <rPr>
        <b/>
        <sz val="11"/>
        <color theme="1"/>
        <rFont val="Times New Roman"/>
        <family val="1"/>
      </rPr>
      <t>Null Hypothesis(h0)</t>
    </r>
    <r>
      <rPr>
        <sz val="11"/>
        <color theme="1"/>
        <rFont val="Times New Roman"/>
        <family val="1"/>
      </rPr>
      <t xml:space="preserve"> : Productivity is as it is.</t>
    </r>
  </si>
  <si>
    <r>
      <t xml:space="preserve">Alternate Hypothesis(hA): </t>
    </r>
    <r>
      <rPr>
        <sz val="11"/>
        <color theme="1"/>
        <rFont val="Times New Roman"/>
        <family val="1"/>
      </rPr>
      <t>Training improved productivity</t>
    </r>
    <r>
      <rPr>
        <b/>
        <sz val="11"/>
        <color theme="1"/>
        <rFont val="Times New Roman"/>
        <family val="1"/>
      </rPr>
      <t>.</t>
    </r>
  </si>
  <si>
    <r>
      <t xml:space="preserve"> = summation(o-e)²</t>
    </r>
    <r>
      <rPr>
        <sz val="10"/>
        <color theme="1"/>
        <rFont val="Times New Roman"/>
        <family val="1"/>
      </rPr>
      <t>/e</t>
    </r>
  </si>
  <si>
    <t>(o-e)²</t>
  </si>
  <si>
    <t>(o-e)²/e</t>
  </si>
  <si>
    <r>
      <rPr>
        <b/>
        <sz val="11"/>
        <color theme="1"/>
        <rFont val="Times New Roman"/>
        <family val="1"/>
      </rPr>
      <t>Null Hypothesis(h0)</t>
    </r>
    <r>
      <rPr>
        <sz val="11"/>
        <color theme="1"/>
        <rFont val="Times New Roman"/>
        <family val="1"/>
      </rPr>
      <t xml:space="preserve"> : No preferance related to gender</t>
    </r>
  </si>
  <si>
    <r>
      <t xml:space="preserve">Alternate Hypothesis(hA): </t>
    </r>
    <r>
      <rPr>
        <sz val="11"/>
        <color theme="1"/>
        <rFont val="Times New Roman"/>
        <family val="1"/>
      </rPr>
      <t>Product preferance is related to gender</t>
    </r>
  </si>
  <si>
    <t>Calculate Differences</t>
  </si>
  <si>
    <t>d= after- before</t>
  </si>
  <si>
    <t xml:space="preserve">mean = </t>
  </si>
  <si>
    <t>Standard Deviation of Differences</t>
  </si>
  <si>
    <t>Test Statistic</t>
  </si>
  <si>
    <t xml:space="preserve">t = </t>
  </si>
  <si>
    <t>Compare calculted t value with critical t value</t>
  </si>
  <si>
    <t>Sl= 0.05</t>
  </si>
  <si>
    <t>df= n-1</t>
  </si>
  <si>
    <t>type =  One tail t test</t>
  </si>
  <si>
    <t>critical value =  2.015</t>
  </si>
  <si>
    <t>critical t value</t>
  </si>
  <si>
    <t>Calculated t value         &gt;</t>
  </si>
  <si>
    <r>
      <t xml:space="preserve">Fail to accept null hypothesis hence traing </t>
    </r>
    <r>
      <rPr>
        <b/>
        <sz val="11"/>
        <color rgb="FF7030A0"/>
        <rFont val="Times New Roman"/>
        <family val="1"/>
      </rPr>
      <t>improved</t>
    </r>
    <r>
      <rPr>
        <sz val="11"/>
        <color rgb="FF7030A0"/>
        <rFont val="Times New Roman"/>
        <family val="1"/>
      </rPr>
      <t xml:space="preserve"> productivity.</t>
    </r>
  </si>
  <si>
    <t>Fail to reject null hypothesis hence avg. time to resolve customer complaint is 10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</si>
</sst>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4" tint="-0.499984740745262"/>
      <name val="Times New Roman"/>
      <family val="1"/>
    </font>
    <font>
      <sz val="10"/>
      <color theme="1"/>
      <name val="Times New Roman"/>
      <family val="1"/>
    </font>
    <font>
      <b/>
      <sz val="11"/>
      <color theme="3"/>
      <name val="Times New Roman"/>
      <family val="1"/>
    </font>
    <font>
      <b/>
      <sz val="12"/>
      <color theme="1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2" fillId="0" borderId="1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8" fillId="0" borderId="0" xfId="0" applyFont="1" applyFill="1" applyBorder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Border="1"/>
    <xf numFmtId="0" fontId="2" fillId="3" borderId="0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267956</xdr:colOff>
      <xdr:row>99</xdr:row>
      <xdr:rowOff>16748</xdr:rowOff>
    </xdr:from>
    <xdr:to>
      <xdr:col>3</xdr:col>
      <xdr:colOff>1021583</xdr:colOff>
      <xdr:row>101</xdr:row>
      <xdr:rowOff>107550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5EB04-6C9B-769A-DAD3-E9315F43E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2505" y="18371737"/>
          <a:ext cx="753627" cy="459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FC34-0F9B-4AE1-A407-6675C01793F6}">
  <dimension ref="A1:P174"/>
  <sheetViews>
    <sheetView tabSelected="1" zoomScale="107" workbookViewId="0">
      <selection activeCell="I63" sqref="I63"/>
    </sheetView>
  </sheetViews>
  <sheetFormatPr defaultRowHeight="14.4" x14ac:dyDescent="0.3"/>
  <cols>
    <col min="1" max="1" width="11.109375" style="1" customWidth="1"/>
    <col min="3" max="3" width="8.88671875" customWidth="1"/>
    <col min="4" max="4" width="15.109375" customWidth="1"/>
    <col min="7" max="7" width="13.33203125" customWidth="1"/>
    <col min="9" max="9" width="11.33203125" customWidth="1"/>
  </cols>
  <sheetData>
    <row r="1" spans="1:10" ht="15.6" x14ac:dyDescent="0.3">
      <c r="A1" s="6" t="s">
        <v>0</v>
      </c>
      <c r="B1" s="16" t="s">
        <v>1</v>
      </c>
      <c r="C1" s="7"/>
      <c r="D1" s="7"/>
      <c r="E1" s="7"/>
      <c r="F1" s="7"/>
      <c r="G1" s="7"/>
      <c r="H1" s="7"/>
      <c r="I1" s="7"/>
      <c r="J1" s="7"/>
    </row>
    <row r="2" spans="1:10" x14ac:dyDescent="0.3">
      <c r="A2" s="6"/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6"/>
      <c r="B3" s="7" t="s">
        <v>2</v>
      </c>
      <c r="C3" s="7"/>
      <c r="D3" s="7"/>
      <c r="E3" s="7"/>
      <c r="F3" s="7"/>
      <c r="G3" s="7"/>
      <c r="H3" s="7"/>
      <c r="I3" s="7"/>
      <c r="J3" s="7"/>
    </row>
    <row r="4" spans="1:10" x14ac:dyDescent="0.3">
      <c r="A4" s="6"/>
      <c r="B4" s="7" t="s">
        <v>3</v>
      </c>
      <c r="C4" s="7"/>
      <c r="D4" s="7"/>
      <c r="E4" s="7"/>
      <c r="F4" s="7"/>
      <c r="G4" s="7"/>
      <c r="H4" s="7"/>
      <c r="I4" s="7"/>
      <c r="J4" s="7"/>
    </row>
    <row r="5" spans="1:10" x14ac:dyDescent="0.3">
      <c r="A5" s="6"/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6"/>
      <c r="B6" s="6" t="s">
        <v>4</v>
      </c>
      <c r="C6" s="7"/>
      <c r="D6" s="7"/>
      <c r="E6" s="7"/>
      <c r="F6" s="7"/>
      <c r="G6" s="7"/>
      <c r="H6" s="7"/>
      <c r="I6" s="7"/>
      <c r="J6" s="7"/>
    </row>
    <row r="7" spans="1:10" x14ac:dyDescent="0.3">
      <c r="A7" s="6"/>
      <c r="B7" s="7"/>
      <c r="C7" s="7" t="s">
        <v>5</v>
      </c>
      <c r="D7" s="7"/>
      <c r="E7" s="7"/>
      <c r="F7" s="7"/>
      <c r="G7" s="7"/>
      <c r="H7" s="7"/>
      <c r="I7" s="7"/>
      <c r="J7" s="7"/>
    </row>
    <row r="8" spans="1:10" x14ac:dyDescent="0.3">
      <c r="A8" s="6"/>
      <c r="B8" s="7"/>
      <c r="C8" s="7" t="s">
        <v>6</v>
      </c>
      <c r="D8" s="7"/>
      <c r="E8" s="7"/>
      <c r="F8" s="7"/>
      <c r="G8" s="7"/>
      <c r="H8" s="7"/>
      <c r="I8" s="7"/>
      <c r="J8" s="7"/>
    </row>
    <row r="9" spans="1:10" x14ac:dyDescent="0.3">
      <c r="A9" s="6"/>
      <c r="B9" s="7"/>
      <c r="C9" s="7" t="s">
        <v>7</v>
      </c>
      <c r="D9" s="7"/>
      <c r="E9" s="7"/>
      <c r="F9" s="7"/>
      <c r="G9" s="7"/>
      <c r="H9" s="7"/>
      <c r="I9" s="7"/>
      <c r="J9" s="7"/>
    </row>
    <row r="10" spans="1:10" x14ac:dyDescent="0.3">
      <c r="A10" s="6"/>
      <c r="B10" s="7"/>
      <c r="C10" s="7" t="s">
        <v>8</v>
      </c>
      <c r="D10" s="7"/>
      <c r="E10" s="7"/>
      <c r="F10" s="7"/>
      <c r="G10" s="7"/>
      <c r="H10" s="7"/>
      <c r="I10" s="7"/>
      <c r="J10" s="7"/>
    </row>
    <row r="11" spans="1:10" x14ac:dyDescent="0.3">
      <c r="A11" s="6"/>
      <c r="B11" s="7"/>
      <c r="C11" s="7"/>
      <c r="D11" s="7"/>
      <c r="E11" s="7"/>
      <c r="F11" s="7"/>
      <c r="G11" s="7"/>
      <c r="H11" s="7"/>
      <c r="I11" s="7"/>
      <c r="J11" s="7"/>
    </row>
    <row r="12" spans="1:10" ht="15.6" x14ac:dyDescent="0.3">
      <c r="A12" s="6" t="s">
        <v>9</v>
      </c>
      <c r="B12" s="16" t="s">
        <v>10</v>
      </c>
      <c r="C12" s="7"/>
      <c r="D12" s="7"/>
      <c r="E12" s="7"/>
      <c r="F12" s="7"/>
      <c r="G12" s="7"/>
      <c r="H12" s="7"/>
      <c r="I12" s="7"/>
      <c r="J12" s="7"/>
    </row>
    <row r="13" spans="1:10" x14ac:dyDescent="0.3">
      <c r="A13" s="6"/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3">
      <c r="A14" s="6"/>
      <c r="B14" s="7" t="s">
        <v>11</v>
      </c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6"/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3">
      <c r="A16" s="6"/>
      <c r="B16" s="7"/>
      <c r="C16" s="7"/>
      <c r="D16" s="7"/>
      <c r="E16" s="7"/>
      <c r="F16" s="7"/>
      <c r="G16" s="7"/>
      <c r="H16" s="7"/>
      <c r="I16" s="7"/>
      <c r="J16" s="7"/>
    </row>
    <row r="17" spans="1:10" ht="15.6" x14ac:dyDescent="0.3">
      <c r="A17" s="6" t="s">
        <v>12</v>
      </c>
      <c r="B17" s="16" t="s">
        <v>13</v>
      </c>
      <c r="C17" s="7"/>
      <c r="D17" s="7"/>
      <c r="E17" s="7"/>
      <c r="F17" s="7"/>
      <c r="G17" s="7"/>
      <c r="H17" s="7"/>
      <c r="I17" s="7"/>
      <c r="J17" s="7"/>
    </row>
    <row r="18" spans="1:10" x14ac:dyDescent="0.3">
      <c r="A18" s="6"/>
      <c r="B18" s="7"/>
      <c r="C18" s="7"/>
      <c r="D18" s="7"/>
      <c r="E18" s="7"/>
      <c r="F18" s="7"/>
      <c r="G18" s="7"/>
      <c r="H18" s="7"/>
      <c r="I18" s="7"/>
      <c r="J18" s="7"/>
    </row>
    <row r="19" spans="1:10" x14ac:dyDescent="0.3">
      <c r="A19" s="6"/>
      <c r="B19" s="6" t="s">
        <v>74</v>
      </c>
      <c r="C19" s="7"/>
      <c r="D19" s="7"/>
      <c r="E19" s="7"/>
      <c r="F19" s="7"/>
      <c r="G19" s="7"/>
      <c r="H19" s="7"/>
      <c r="I19" s="7"/>
      <c r="J19" s="7"/>
    </row>
    <row r="20" spans="1:10" x14ac:dyDescent="0.3">
      <c r="A20" s="6"/>
      <c r="B20" s="7" t="s">
        <v>75</v>
      </c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6"/>
      <c r="B21" s="7" t="s">
        <v>14</v>
      </c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6"/>
      <c r="B22" s="7"/>
      <c r="C22" s="7"/>
      <c r="D22" s="7"/>
      <c r="E22" s="7"/>
      <c r="F22" s="7"/>
      <c r="G22" s="7"/>
      <c r="H22" s="7"/>
      <c r="I22" s="7"/>
      <c r="J22" s="7"/>
    </row>
    <row r="23" spans="1:10" ht="15.6" x14ac:dyDescent="0.3">
      <c r="A23" s="6" t="s">
        <v>15</v>
      </c>
      <c r="B23" s="16" t="s">
        <v>16</v>
      </c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6"/>
      <c r="B24" s="7"/>
      <c r="C24" s="7"/>
      <c r="D24" s="7"/>
      <c r="E24" s="7"/>
      <c r="F24" s="7"/>
      <c r="G24" s="7"/>
      <c r="H24" s="7"/>
      <c r="I24" s="7"/>
      <c r="J24" s="7"/>
    </row>
    <row r="25" spans="1:10" x14ac:dyDescent="0.3">
      <c r="A25" s="6"/>
      <c r="B25" s="7" t="s">
        <v>76</v>
      </c>
      <c r="C25" s="7"/>
      <c r="D25" s="7"/>
      <c r="E25" s="7"/>
      <c r="F25" s="7"/>
      <c r="G25" s="7"/>
      <c r="H25" s="7"/>
      <c r="I25" s="7"/>
      <c r="J25" s="7"/>
    </row>
    <row r="26" spans="1:10" x14ac:dyDescent="0.3">
      <c r="A26" s="6"/>
      <c r="B26" s="7" t="s">
        <v>77</v>
      </c>
      <c r="C26" s="7"/>
      <c r="D26" s="7"/>
      <c r="E26" s="7"/>
      <c r="F26" s="7"/>
      <c r="G26" s="7"/>
      <c r="H26" s="7"/>
      <c r="I26" s="7"/>
      <c r="J26" s="7"/>
    </row>
    <row r="27" spans="1:10" x14ac:dyDescent="0.3">
      <c r="A27" s="6"/>
      <c r="B27" s="7"/>
      <c r="C27" s="7"/>
      <c r="D27" s="7"/>
      <c r="E27" s="7"/>
      <c r="F27" s="7"/>
      <c r="G27" s="7"/>
      <c r="H27" s="7"/>
      <c r="I27" s="7"/>
      <c r="J27" s="7"/>
    </row>
    <row r="28" spans="1:10" s="24" customFormat="1" x14ac:dyDescent="0.3">
      <c r="A28" s="20"/>
      <c r="B28" s="21"/>
      <c r="C28" s="21"/>
      <c r="D28" s="21"/>
      <c r="E28" s="21"/>
      <c r="F28" s="21"/>
      <c r="G28" s="21"/>
      <c r="H28" s="21"/>
      <c r="I28" s="21"/>
      <c r="J28" s="21"/>
    </row>
    <row r="29" spans="1:10" ht="15.6" x14ac:dyDescent="0.3">
      <c r="A29" s="6" t="s">
        <v>17</v>
      </c>
      <c r="B29" s="16" t="s">
        <v>18</v>
      </c>
      <c r="C29" s="7"/>
      <c r="D29" s="7"/>
      <c r="E29" s="7"/>
      <c r="F29" s="7"/>
      <c r="G29" s="7"/>
      <c r="H29" s="7"/>
      <c r="I29" s="7"/>
      <c r="J29" s="7"/>
    </row>
    <row r="30" spans="1:10" x14ac:dyDescent="0.3">
      <c r="A30" s="6"/>
      <c r="B30" s="7"/>
      <c r="C30" s="7"/>
      <c r="D30" s="7"/>
      <c r="E30" s="7"/>
      <c r="F30" s="7"/>
      <c r="G30" s="7"/>
      <c r="H30" s="7"/>
      <c r="I30" s="7"/>
      <c r="J30" s="7"/>
    </row>
    <row r="31" spans="1:10" x14ac:dyDescent="0.3">
      <c r="A31" s="6"/>
      <c r="B31" s="7" t="s">
        <v>19</v>
      </c>
      <c r="C31" s="7"/>
      <c r="D31" s="7"/>
      <c r="E31" s="7"/>
      <c r="F31" s="7"/>
      <c r="G31" s="7"/>
      <c r="H31" s="7"/>
      <c r="I31" s="7"/>
      <c r="J31" s="7"/>
    </row>
    <row r="32" spans="1:10" x14ac:dyDescent="0.3">
      <c r="A32" s="6"/>
      <c r="B32" s="7"/>
      <c r="C32" s="7" t="s">
        <v>23</v>
      </c>
      <c r="D32" s="7"/>
      <c r="E32" s="7">
        <v>9</v>
      </c>
      <c r="F32" s="7"/>
      <c r="G32" s="7"/>
      <c r="H32" s="7"/>
      <c r="I32" s="7"/>
      <c r="J32" s="7"/>
    </row>
    <row r="33" spans="1:10" x14ac:dyDescent="0.3">
      <c r="A33" s="6"/>
      <c r="B33" s="7"/>
      <c r="C33" s="7" t="s">
        <v>20</v>
      </c>
      <c r="D33" s="7" t="s">
        <v>24</v>
      </c>
      <c r="E33" s="7">
        <v>3</v>
      </c>
      <c r="F33" s="7"/>
      <c r="G33" s="7"/>
      <c r="H33" s="7"/>
      <c r="I33" s="7"/>
      <c r="J33" s="7"/>
    </row>
    <row r="34" spans="1:10" x14ac:dyDescent="0.3">
      <c r="A34" s="6"/>
      <c r="B34" s="7"/>
      <c r="C34" s="7" t="s">
        <v>78</v>
      </c>
      <c r="D34" s="7"/>
      <c r="E34" s="7">
        <v>0.05</v>
      </c>
      <c r="F34" s="7"/>
      <c r="G34" s="7"/>
      <c r="H34" s="7"/>
      <c r="I34" s="7"/>
      <c r="J34" s="7"/>
    </row>
    <row r="35" spans="1:10" x14ac:dyDescent="0.3">
      <c r="A35" s="6"/>
      <c r="B35" s="7"/>
      <c r="C35" s="7" t="s">
        <v>79</v>
      </c>
      <c r="D35" s="7"/>
      <c r="E35" s="7">
        <v>10</v>
      </c>
      <c r="F35" s="7"/>
      <c r="G35" s="7"/>
      <c r="H35" s="7"/>
      <c r="I35" s="7"/>
      <c r="J35" s="7"/>
    </row>
    <row r="36" spans="1:10" x14ac:dyDescent="0.3">
      <c r="A36" s="6"/>
      <c r="B36" s="7"/>
      <c r="C36" s="7" t="s">
        <v>80</v>
      </c>
      <c r="D36" s="7"/>
      <c r="E36" s="7">
        <v>12</v>
      </c>
      <c r="F36" s="7"/>
      <c r="G36" s="7"/>
      <c r="H36" s="7"/>
      <c r="I36" s="7"/>
      <c r="J36" s="7"/>
    </row>
    <row r="37" spans="1:10" x14ac:dyDescent="0.3">
      <c r="A37" s="6"/>
      <c r="B37" s="7"/>
      <c r="C37" s="7"/>
      <c r="D37" s="7"/>
      <c r="E37" s="7"/>
      <c r="F37" s="7"/>
      <c r="G37" s="7"/>
      <c r="H37" s="7"/>
      <c r="I37" s="7"/>
      <c r="J37" s="7"/>
    </row>
    <row r="38" spans="1:10" x14ac:dyDescent="0.3">
      <c r="A38" s="6"/>
      <c r="B38" s="6" t="s">
        <v>21</v>
      </c>
      <c r="C38" s="6" t="s">
        <v>22</v>
      </c>
      <c r="D38" s="7"/>
      <c r="E38" s="7"/>
      <c r="F38" s="7"/>
      <c r="G38" s="7"/>
      <c r="H38" s="7"/>
      <c r="I38" s="7"/>
      <c r="J38" s="7"/>
    </row>
    <row r="39" spans="1:10" x14ac:dyDescent="0.3">
      <c r="A39" s="6"/>
      <c r="B39" s="6"/>
      <c r="C39" s="7"/>
      <c r="D39" s="7" t="s">
        <v>81</v>
      </c>
      <c r="E39" s="7"/>
      <c r="F39" s="7"/>
      <c r="G39" s="7"/>
      <c r="H39" s="7"/>
      <c r="I39" s="7"/>
      <c r="J39" s="7"/>
    </row>
    <row r="40" spans="1:10" x14ac:dyDescent="0.3">
      <c r="A40" s="6"/>
      <c r="B40" s="6"/>
      <c r="C40" s="7"/>
      <c r="D40" s="6" t="s">
        <v>82</v>
      </c>
      <c r="E40" s="7"/>
      <c r="F40" s="7"/>
      <c r="G40" s="7"/>
      <c r="H40" s="7"/>
      <c r="I40" s="7"/>
      <c r="J40" s="7"/>
    </row>
    <row r="41" spans="1:10" x14ac:dyDescent="0.3">
      <c r="A41" s="6"/>
      <c r="B41" s="6"/>
      <c r="C41" s="7"/>
      <c r="D41" s="7"/>
      <c r="E41" s="7"/>
      <c r="F41" s="7"/>
      <c r="G41" s="7"/>
      <c r="H41" s="7"/>
      <c r="I41" s="7"/>
      <c r="J41" s="7"/>
    </row>
    <row r="42" spans="1:10" x14ac:dyDescent="0.3">
      <c r="A42" s="6"/>
      <c r="B42" s="6"/>
      <c r="C42" s="7"/>
      <c r="D42" s="7"/>
      <c r="E42" s="7"/>
      <c r="F42" s="7"/>
      <c r="G42" s="7"/>
      <c r="H42" s="7"/>
      <c r="I42" s="7"/>
      <c r="J42" s="7"/>
    </row>
    <row r="43" spans="1:10" x14ac:dyDescent="0.3">
      <c r="A43" s="6"/>
      <c r="B43" s="6" t="s">
        <v>25</v>
      </c>
      <c r="C43" s="6" t="s">
        <v>26</v>
      </c>
      <c r="D43" s="7"/>
      <c r="E43" s="7"/>
      <c r="F43" s="7"/>
      <c r="G43" s="7"/>
      <c r="H43" s="7"/>
      <c r="I43" s="7"/>
      <c r="J43" s="7"/>
    </row>
    <row r="44" spans="1:10" x14ac:dyDescent="0.3">
      <c r="A44" s="6"/>
      <c r="B44" s="6"/>
      <c r="C44" s="7"/>
      <c r="D44" s="7"/>
      <c r="E44" s="7"/>
      <c r="F44" s="7"/>
      <c r="G44" s="7"/>
      <c r="H44" s="7"/>
      <c r="I44" s="7"/>
      <c r="J44" s="7"/>
    </row>
    <row r="45" spans="1:10" x14ac:dyDescent="0.3">
      <c r="A45" s="6"/>
      <c r="B45" s="6" t="s">
        <v>27</v>
      </c>
      <c r="C45" s="6" t="s">
        <v>28</v>
      </c>
      <c r="D45" s="7"/>
      <c r="E45" s="7"/>
      <c r="F45" s="7"/>
      <c r="G45" s="7"/>
      <c r="H45" s="7"/>
      <c r="I45" s="7"/>
      <c r="J45" s="7"/>
    </row>
    <row r="46" spans="1:10" x14ac:dyDescent="0.3">
      <c r="A46" s="6"/>
      <c r="B46" s="6"/>
      <c r="C46" s="7"/>
      <c r="D46" s="7" t="s">
        <v>29</v>
      </c>
      <c r="E46" s="8">
        <f>(E36-E35)/(E33/SQRT(E32))</f>
        <v>2</v>
      </c>
      <c r="F46" s="7"/>
      <c r="G46" s="7"/>
      <c r="H46" s="7"/>
      <c r="I46" s="7"/>
      <c r="J46" s="7"/>
    </row>
    <row r="47" spans="1:10" x14ac:dyDescent="0.3">
      <c r="A47" s="6"/>
      <c r="B47" s="6"/>
      <c r="C47" s="7"/>
      <c r="D47" s="7"/>
      <c r="E47" s="7"/>
      <c r="F47" s="7"/>
      <c r="G47" s="7"/>
      <c r="H47" s="7"/>
      <c r="I47" s="7"/>
      <c r="J47" s="7"/>
    </row>
    <row r="48" spans="1:10" x14ac:dyDescent="0.3">
      <c r="A48" s="6"/>
      <c r="B48" s="6" t="s">
        <v>30</v>
      </c>
      <c r="C48" s="6" t="s">
        <v>31</v>
      </c>
      <c r="D48" s="7"/>
      <c r="E48" s="7"/>
      <c r="F48" s="7"/>
      <c r="G48" s="7"/>
      <c r="H48" s="7"/>
      <c r="I48" s="7"/>
      <c r="J48" s="7"/>
    </row>
    <row r="49" spans="1:10" x14ac:dyDescent="0.3">
      <c r="A49" s="6"/>
      <c r="B49" s="7"/>
      <c r="C49" s="7"/>
      <c r="D49" s="7"/>
      <c r="E49" s="7"/>
      <c r="F49" s="7"/>
      <c r="G49" s="7"/>
      <c r="H49" s="7"/>
      <c r="I49" s="7"/>
      <c r="J49" s="7"/>
    </row>
    <row r="50" spans="1:10" x14ac:dyDescent="0.3">
      <c r="A50" s="6"/>
      <c r="B50" s="7"/>
      <c r="C50" s="7" t="s">
        <v>32</v>
      </c>
      <c r="D50" s="7"/>
      <c r="E50" s="7"/>
      <c r="F50" s="7"/>
      <c r="G50" s="7"/>
      <c r="H50" s="7"/>
      <c r="I50" s="7"/>
      <c r="J50" s="7"/>
    </row>
    <row r="51" spans="1:10" x14ac:dyDescent="0.3">
      <c r="A51" s="6"/>
      <c r="B51" s="7"/>
      <c r="C51" s="7" t="s">
        <v>33</v>
      </c>
      <c r="D51" s="7"/>
      <c r="E51" s="7"/>
      <c r="F51" s="7"/>
      <c r="G51" s="7"/>
      <c r="H51" s="7"/>
      <c r="I51" s="7"/>
      <c r="J51" s="7"/>
    </row>
    <row r="52" spans="1:10" x14ac:dyDescent="0.3">
      <c r="A52" s="6"/>
      <c r="B52" s="7"/>
      <c r="C52" s="7" t="s">
        <v>34</v>
      </c>
      <c r="D52" s="7"/>
      <c r="E52" s="7"/>
      <c r="F52" s="7" t="s">
        <v>39</v>
      </c>
      <c r="G52" s="7"/>
      <c r="H52" s="7"/>
      <c r="I52" s="7"/>
      <c r="J52" s="7"/>
    </row>
    <row r="53" spans="1:10" x14ac:dyDescent="0.3">
      <c r="A53" s="6"/>
      <c r="B53" s="7"/>
      <c r="C53" s="7"/>
      <c r="D53" s="7"/>
      <c r="E53" s="7"/>
      <c r="F53" s="7">
        <f>9-1</f>
        <v>8</v>
      </c>
      <c r="G53" s="7"/>
      <c r="H53" s="7"/>
      <c r="I53" s="7"/>
      <c r="J53" s="7"/>
    </row>
    <row r="54" spans="1:10" x14ac:dyDescent="0.3">
      <c r="A54" s="6"/>
      <c r="B54" s="7"/>
      <c r="C54" s="7"/>
      <c r="D54" s="7"/>
      <c r="E54" s="7"/>
      <c r="F54" s="7"/>
      <c r="G54" s="7"/>
      <c r="H54" s="7"/>
      <c r="I54" s="7"/>
      <c r="J54" s="7"/>
    </row>
    <row r="55" spans="1:10" x14ac:dyDescent="0.3">
      <c r="A55" s="6"/>
      <c r="B55" s="7"/>
      <c r="C55" s="7" t="s">
        <v>35</v>
      </c>
      <c r="D55" s="7"/>
      <c r="E55" s="7"/>
      <c r="F55" s="8">
        <v>2.306</v>
      </c>
      <c r="G55" s="7"/>
      <c r="H55" s="7"/>
      <c r="I55" s="7"/>
      <c r="J55" s="7"/>
    </row>
    <row r="56" spans="1:10" x14ac:dyDescent="0.3">
      <c r="A56" s="6"/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3">
      <c r="A57" s="6"/>
      <c r="B57" s="7"/>
      <c r="C57" s="7"/>
      <c r="D57" s="7" t="s">
        <v>36</v>
      </c>
      <c r="E57" s="7"/>
      <c r="F57" s="7" t="s">
        <v>38</v>
      </c>
      <c r="G57" s="7" t="s">
        <v>37</v>
      </c>
      <c r="H57" s="7"/>
      <c r="I57" s="7"/>
      <c r="J57" s="7"/>
    </row>
    <row r="58" spans="1:10" x14ac:dyDescent="0.3">
      <c r="A58" s="6"/>
      <c r="B58" s="7"/>
      <c r="C58" s="7"/>
      <c r="D58" s="7">
        <v>2</v>
      </c>
      <c r="E58" s="7"/>
      <c r="F58" s="7"/>
      <c r="G58" s="7">
        <v>2.306</v>
      </c>
      <c r="H58" s="7"/>
      <c r="I58" s="7"/>
      <c r="J58" s="7"/>
    </row>
    <row r="59" spans="1:10" x14ac:dyDescent="0.3">
      <c r="A59" s="6"/>
      <c r="B59" s="7"/>
      <c r="C59" s="7"/>
      <c r="D59" s="7"/>
      <c r="E59" s="7"/>
      <c r="F59" s="7"/>
      <c r="G59" s="7"/>
      <c r="H59" s="7"/>
      <c r="I59" s="7"/>
      <c r="J59" s="7"/>
    </row>
    <row r="60" spans="1:10" x14ac:dyDescent="0.3">
      <c r="A60" s="6"/>
      <c r="B60" s="7"/>
      <c r="C60" s="7"/>
      <c r="D60" s="7"/>
      <c r="E60" s="7"/>
      <c r="F60" s="7"/>
      <c r="G60" s="7"/>
      <c r="H60" s="7"/>
      <c r="I60" s="7"/>
      <c r="J60" s="7"/>
    </row>
    <row r="61" spans="1:10" x14ac:dyDescent="0.3">
      <c r="A61" s="6"/>
      <c r="B61" s="7"/>
      <c r="C61" s="9" t="s">
        <v>105</v>
      </c>
      <c r="D61" s="7"/>
      <c r="E61" s="7"/>
      <c r="F61" s="7"/>
      <c r="G61" s="7"/>
      <c r="H61" s="7"/>
      <c r="I61" s="7"/>
      <c r="J61" s="7"/>
    </row>
    <row r="62" spans="1:10" x14ac:dyDescent="0.3">
      <c r="A62" s="6"/>
      <c r="B62" s="7"/>
      <c r="C62" s="7"/>
      <c r="D62" s="7"/>
      <c r="E62" s="7"/>
      <c r="F62" s="7"/>
      <c r="G62" s="7"/>
      <c r="H62" s="7"/>
      <c r="I62" s="7"/>
      <c r="J62" s="7"/>
    </row>
    <row r="63" spans="1:10" x14ac:dyDescent="0.3">
      <c r="A63" s="6"/>
      <c r="B63" s="7"/>
      <c r="C63" s="7"/>
      <c r="D63" s="7"/>
      <c r="E63" s="7"/>
      <c r="F63" s="7"/>
      <c r="G63" s="7"/>
      <c r="H63" s="7"/>
      <c r="I63" s="7"/>
      <c r="J63" s="7"/>
    </row>
    <row r="64" spans="1:10" ht="15.6" x14ac:dyDescent="0.3">
      <c r="A64" s="6" t="s">
        <v>40</v>
      </c>
      <c r="B64" s="16" t="s">
        <v>41</v>
      </c>
      <c r="C64" s="7"/>
      <c r="D64" s="7"/>
      <c r="E64" s="7"/>
      <c r="F64" s="7"/>
      <c r="G64" s="7"/>
      <c r="H64" s="7"/>
      <c r="I64" s="7"/>
      <c r="J64" s="7"/>
    </row>
    <row r="65" spans="1:10" x14ac:dyDescent="0.3">
      <c r="A65" s="6"/>
      <c r="B65" s="7" t="s">
        <v>83</v>
      </c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/>
      <c r="B66" s="7"/>
      <c r="C66" s="7"/>
      <c r="D66" s="7"/>
      <c r="E66" s="7"/>
      <c r="F66" s="7"/>
      <c r="G66" s="7"/>
      <c r="H66" s="7"/>
      <c r="I66" s="7"/>
      <c r="J66" s="7"/>
    </row>
    <row r="67" spans="1:10" s="24" customFormat="1" x14ac:dyDescent="0.3">
      <c r="A67" s="20"/>
      <c r="B67" s="21"/>
      <c r="C67" s="21"/>
      <c r="D67" s="21"/>
      <c r="E67" s="21"/>
      <c r="F67" s="21"/>
      <c r="G67" s="21"/>
      <c r="H67" s="21"/>
      <c r="I67" s="21"/>
      <c r="J67" s="21"/>
    </row>
    <row r="68" spans="1:10" ht="15.6" x14ac:dyDescent="0.3">
      <c r="A68" s="6" t="s">
        <v>42</v>
      </c>
      <c r="B68" s="16" t="s">
        <v>43</v>
      </c>
      <c r="C68" s="7"/>
      <c r="D68" s="7"/>
      <c r="E68" s="7"/>
      <c r="F68" s="7"/>
      <c r="G68" s="7"/>
      <c r="H68" s="7"/>
      <c r="I68" s="7"/>
      <c r="J68" s="7"/>
    </row>
    <row r="69" spans="1:10" x14ac:dyDescent="0.3">
      <c r="A69" s="6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/>
      <c r="B70" s="10" t="s">
        <v>44</v>
      </c>
      <c r="C70" s="10" t="s">
        <v>45</v>
      </c>
      <c r="D70" s="10" t="s">
        <v>46</v>
      </c>
      <c r="E70" s="12"/>
      <c r="F70" s="7"/>
      <c r="G70" s="7"/>
      <c r="H70" s="7"/>
      <c r="I70" s="7"/>
      <c r="J70" s="7"/>
    </row>
    <row r="71" spans="1:10" x14ac:dyDescent="0.3">
      <c r="A71" s="6"/>
      <c r="B71" s="11">
        <v>1</v>
      </c>
      <c r="C71" s="11">
        <v>50</v>
      </c>
      <c r="D71" s="11">
        <v>55</v>
      </c>
      <c r="E71" s="13"/>
      <c r="F71" s="7"/>
      <c r="G71" s="7"/>
      <c r="H71" s="7"/>
      <c r="I71" s="7"/>
      <c r="J71" s="7"/>
    </row>
    <row r="72" spans="1:10" x14ac:dyDescent="0.3">
      <c r="A72" s="6"/>
      <c r="B72" s="11">
        <v>2</v>
      </c>
      <c r="C72" s="11">
        <v>60</v>
      </c>
      <c r="D72" s="11">
        <v>65</v>
      </c>
      <c r="E72" s="13"/>
      <c r="F72" s="7"/>
      <c r="G72" s="7"/>
      <c r="H72" s="7"/>
      <c r="I72" s="7"/>
      <c r="J72" s="7"/>
    </row>
    <row r="73" spans="1:10" x14ac:dyDescent="0.3">
      <c r="A73" s="6"/>
      <c r="B73" s="11">
        <v>3</v>
      </c>
      <c r="C73" s="11">
        <v>58</v>
      </c>
      <c r="D73" s="11">
        <v>59</v>
      </c>
      <c r="E73" s="13"/>
      <c r="F73" s="7"/>
      <c r="G73" s="7"/>
      <c r="H73" s="7"/>
      <c r="I73" s="7"/>
      <c r="J73" s="7"/>
    </row>
    <row r="74" spans="1:10" x14ac:dyDescent="0.3">
      <c r="A74" s="6"/>
      <c r="B74" s="11">
        <v>4</v>
      </c>
      <c r="C74" s="11">
        <v>55</v>
      </c>
      <c r="D74" s="11">
        <v>58</v>
      </c>
      <c r="E74" s="13"/>
      <c r="F74" s="7"/>
      <c r="G74" s="7"/>
      <c r="H74" s="7"/>
      <c r="I74" s="7"/>
      <c r="J74" s="7"/>
    </row>
    <row r="75" spans="1:10" x14ac:dyDescent="0.3">
      <c r="A75" s="6"/>
      <c r="B75" s="11">
        <v>5</v>
      </c>
      <c r="C75" s="11">
        <v>62</v>
      </c>
      <c r="D75" s="11">
        <v>63</v>
      </c>
      <c r="E75" s="13"/>
      <c r="F75" s="7"/>
      <c r="G75" s="7"/>
      <c r="H75" s="7"/>
      <c r="I75" s="7"/>
      <c r="J75" s="7"/>
    </row>
    <row r="76" spans="1:10" x14ac:dyDescent="0.3">
      <c r="A76" s="6"/>
      <c r="B76" s="11">
        <v>6</v>
      </c>
      <c r="C76" s="11">
        <v>56</v>
      </c>
      <c r="D76" s="11">
        <v>59</v>
      </c>
      <c r="E76" s="13"/>
      <c r="F76" s="7"/>
      <c r="G76" s="7"/>
      <c r="H76" s="7"/>
      <c r="I76" s="7"/>
      <c r="J76" s="7"/>
    </row>
    <row r="77" spans="1:10" x14ac:dyDescent="0.3">
      <c r="A77" s="6"/>
      <c r="B77" s="12"/>
      <c r="C77" s="13"/>
      <c r="D77" s="13"/>
      <c r="E77" s="13"/>
      <c r="F77" s="7"/>
      <c r="G77" s="7"/>
      <c r="H77" s="7"/>
      <c r="I77" s="7"/>
      <c r="J77" s="7"/>
    </row>
    <row r="78" spans="1:10" x14ac:dyDescent="0.3">
      <c r="A78" s="6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3">
      <c r="A79" s="6"/>
      <c r="B79" s="7" t="s">
        <v>48</v>
      </c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3">
      <c r="A81" s="6"/>
      <c r="B81" s="6" t="s">
        <v>21</v>
      </c>
      <c r="C81" s="6" t="s">
        <v>22</v>
      </c>
      <c r="D81" s="7"/>
      <c r="E81" s="7"/>
      <c r="F81" s="7"/>
      <c r="G81" s="7"/>
      <c r="H81" s="7"/>
      <c r="I81" s="7"/>
      <c r="J81" s="7"/>
    </row>
    <row r="82" spans="1:10" x14ac:dyDescent="0.3">
      <c r="A82" s="6"/>
      <c r="B82" s="6"/>
      <c r="C82" s="7"/>
      <c r="D82" s="7" t="s">
        <v>84</v>
      </c>
      <c r="E82" s="7"/>
      <c r="F82" s="7"/>
      <c r="G82" s="7"/>
      <c r="H82" s="7"/>
      <c r="I82" s="7"/>
      <c r="J82" s="7"/>
    </row>
    <row r="83" spans="1:10" x14ac:dyDescent="0.3">
      <c r="A83" s="6"/>
      <c r="B83" s="6"/>
      <c r="C83" s="7"/>
      <c r="D83" s="6" t="s">
        <v>85</v>
      </c>
      <c r="E83" s="7"/>
      <c r="F83" s="7"/>
      <c r="G83" s="7"/>
      <c r="H83" s="7"/>
      <c r="I83" s="7"/>
      <c r="J83" s="7"/>
    </row>
    <row r="84" spans="1:10" x14ac:dyDescent="0.3">
      <c r="A84" s="6"/>
      <c r="B84" s="6"/>
      <c r="C84" s="7"/>
      <c r="D84" s="7"/>
      <c r="E84" s="7"/>
      <c r="F84" s="7"/>
      <c r="G84" s="7"/>
      <c r="H84" s="7"/>
      <c r="I84" s="7"/>
      <c r="J84" s="7"/>
    </row>
    <row r="85" spans="1:10" x14ac:dyDescent="0.3">
      <c r="A85" s="6"/>
      <c r="B85" s="6" t="s">
        <v>25</v>
      </c>
      <c r="C85" s="7" t="s">
        <v>91</v>
      </c>
      <c r="D85" s="7"/>
      <c r="E85" s="7"/>
      <c r="F85" s="7"/>
      <c r="G85" s="7"/>
      <c r="H85" s="7"/>
      <c r="I85" s="7"/>
      <c r="J85" s="7"/>
    </row>
    <row r="86" spans="1:10" x14ac:dyDescent="0.3">
      <c r="A86" s="6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3">
      <c r="A87" s="6"/>
      <c r="B87" s="7"/>
      <c r="C87" s="10" t="s">
        <v>44</v>
      </c>
      <c r="D87" s="10" t="s">
        <v>92</v>
      </c>
      <c r="E87" s="7"/>
      <c r="F87" s="7"/>
      <c r="G87" s="7"/>
      <c r="H87" s="7"/>
      <c r="I87" s="7"/>
      <c r="J87" s="7"/>
    </row>
    <row r="88" spans="1:10" x14ac:dyDescent="0.3">
      <c r="A88" s="6"/>
      <c r="B88" s="7"/>
      <c r="C88" s="11">
        <v>1</v>
      </c>
      <c r="D88" s="11">
        <f>D71-C71</f>
        <v>5</v>
      </c>
      <c r="E88" s="7"/>
      <c r="F88" s="7"/>
      <c r="G88" s="7"/>
      <c r="H88" s="7"/>
      <c r="I88" s="7"/>
      <c r="J88" s="7"/>
    </row>
    <row r="89" spans="1:10" x14ac:dyDescent="0.3">
      <c r="A89" s="6"/>
      <c r="B89" s="7"/>
      <c r="C89" s="11">
        <v>2</v>
      </c>
      <c r="D89" s="11">
        <f t="shared" ref="D89:D93" si="0">D72-C72</f>
        <v>5</v>
      </c>
      <c r="E89" s="12"/>
      <c r="F89" s="12"/>
      <c r="G89" s="7"/>
      <c r="H89" s="7"/>
      <c r="I89" s="7"/>
      <c r="J89" s="7"/>
    </row>
    <row r="90" spans="1:10" x14ac:dyDescent="0.3">
      <c r="A90" s="6"/>
      <c r="B90" s="7"/>
      <c r="C90" s="11">
        <v>3</v>
      </c>
      <c r="D90" s="11">
        <f t="shared" si="0"/>
        <v>1</v>
      </c>
      <c r="E90" s="17"/>
      <c r="F90" s="13"/>
      <c r="G90" s="7"/>
      <c r="H90" s="7"/>
      <c r="I90" s="7"/>
      <c r="J90" s="7"/>
    </row>
    <row r="91" spans="1:10" x14ac:dyDescent="0.3">
      <c r="A91" s="6"/>
      <c r="B91" s="7"/>
      <c r="C91" s="11">
        <v>4</v>
      </c>
      <c r="D91" s="11">
        <f t="shared" si="0"/>
        <v>3</v>
      </c>
      <c r="E91" s="17"/>
      <c r="F91" s="13"/>
      <c r="G91" s="7"/>
      <c r="H91" s="7"/>
      <c r="I91" s="7"/>
      <c r="J91" s="7"/>
    </row>
    <row r="92" spans="1:10" x14ac:dyDescent="0.3">
      <c r="A92" s="6"/>
      <c r="B92" s="7"/>
      <c r="C92" s="11">
        <v>5</v>
      </c>
      <c r="D92" s="11">
        <f t="shared" si="0"/>
        <v>1</v>
      </c>
      <c r="E92" s="17"/>
      <c r="F92" s="13"/>
      <c r="G92" s="7"/>
      <c r="H92" s="7"/>
      <c r="I92" s="7"/>
      <c r="J92" s="7"/>
    </row>
    <row r="93" spans="1:10" x14ac:dyDescent="0.3">
      <c r="A93" s="6"/>
      <c r="B93" s="7"/>
      <c r="C93" s="11">
        <v>6</v>
      </c>
      <c r="D93" s="11">
        <f t="shared" si="0"/>
        <v>3</v>
      </c>
      <c r="E93" s="17"/>
      <c r="F93" s="13" t="s">
        <v>93</v>
      </c>
      <c r="G93" s="7">
        <f>AVERAGE(D88:D93)</f>
        <v>3</v>
      </c>
      <c r="H93" s="7"/>
      <c r="I93" s="7"/>
      <c r="J93" s="7"/>
    </row>
    <row r="94" spans="1:10" x14ac:dyDescent="0.3">
      <c r="A94" s="6"/>
      <c r="B94" s="7"/>
      <c r="C94" s="17"/>
      <c r="D94" s="17"/>
      <c r="E94" s="17"/>
      <c r="F94" s="13"/>
      <c r="G94" s="7"/>
      <c r="H94" s="7"/>
      <c r="I94" s="7"/>
      <c r="J94" s="7"/>
    </row>
    <row r="95" spans="1:10" x14ac:dyDescent="0.3">
      <c r="A95" s="6"/>
      <c r="B95" s="6" t="s">
        <v>27</v>
      </c>
      <c r="C95" t="s">
        <v>94</v>
      </c>
      <c r="D95" s="17"/>
      <c r="E95" s="17"/>
      <c r="F95" s="13"/>
      <c r="G95" s="7"/>
      <c r="H95" s="7"/>
      <c r="I95" s="7"/>
      <c r="J95" s="7"/>
    </row>
    <row r="96" spans="1:10" x14ac:dyDescent="0.3">
      <c r="A96" s="6"/>
      <c r="B96" s="7"/>
      <c r="C96" s="12"/>
      <c r="D96" s="13"/>
      <c r="E96" s="13"/>
      <c r="F96" s="13"/>
      <c r="G96" s="7"/>
      <c r="H96" s="7"/>
      <c r="I96" s="7"/>
      <c r="J96" s="7"/>
    </row>
    <row r="97" spans="1:10" x14ac:dyDescent="0.3">
      <c r="A97" s="6"/>
      <c r="B97" s="7"/>
      <c r="C97" s="7"/>
      <c r="D97" s="7">
        <f>_xlfn.STDEV.S(D88:D93)</f>
        <v>1.7888543819998317</v>
      </c>
      <c r="E97" s="7"/>
      <c r="F97" s="7"/>
      <c r="G97" s="7"/>
      <c r="H97" s="7"/>
      <c r="I97" s="7"/>
      <c r="J97" s="7"/>
    </row>
    <row r="98" spans="1:10" x14ac:dyDescent="0.3">
      <c r="A98" s="6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6"/>
      <c r="B99" s="6" t="s">
        <v>30</v>
      </c>
      <c r="C99" t="s">
        <v>95</v>
      </c>
      <c r="D99" s="7"/>
      <c r="E99" s="7"/>
      <c r="F99" s="7"/>
      <c r="G99" s="7"/>
      <c r="H99" s="7"/>
      <c r="I99" s="7"/>
      <c r="J99" s="7"/>
    </row>
    <row r="100" spans="1:10" x14ac:dyDescent="0.3">
      <c r="A100" s="6"/>
      <c r="B100" s="7"/>
      <c r="C100" s="7"/>
      <c r="D100" s="7"/>
      <c r="E100" s="7"/>
      <c r="F100" s="7"/>
      <c r="G100" s="7"/>
      <c r="H100" s="7"/>
      <c r="I100" s="7"/>
      <c r="J100" s="7"/>
    </row>
    <row r="101" spans="1:10" x14ac:dyDescent="0.3">
      <c r="A101" s="6"/>
      <c r="B101" s="7"/>
      <c r="C101" s="7"/>
      <c r="D101" s="7"/>
      <c r="E101" s="7"/>
      <c r="F101" s="7"/>
      <c r="G101" s="7"/>
      <c r="H101" s="7"/>
      <c r="I101" s="7"/>
      <c r="J101" s="7"/>
    </row>
    <row r="102" spans="1:10" x14ac:dyDescent="0.3">
      <c r="A102" s="6"/>
      <c r="B102" s="7"/>
      <c r="C102" s="7"/>
      <c r="D102" s="7"/>
      <c r="E102" s="7"/>
      <c r="F102" s="7"/>
      <c r="G102" s="7"/>
      <c r="H102" s="7"/>
      <c r="I102" s="7"/>
      <c r="J102" s="7"/>
    </row>
    <row r="103" spans="1:10" x14ac:dyDescent="0.3">
      <c r="A103" s="6"/>
      <c r="B103" s="7"/>
      <c r="C103" s="7"/>
      <c r="D103" s="7"/>
      <c r="E103" s="7"/>
      <c r="F103" s="7"/>
      <c r="G103" s="7"/>
      <c r="H103" s="7"/>
      <c r="I103" s="7"/>
      <c r="J103" s="7"/>
    </row>
    <row r="104" spans="1:10" x14ac:dyDescent="0.3">
      <c r="A104" s="6"/>
      <c r="B104" s="7"/>
      <c r="C104" s="7"/>
      <c r="D104" s="7" t="s">
        <v>96</v>
      </c>
      <c r="E104" s="7">
        <f>G93/(D97/SQRT(6))</f>
        <v>4.1079191812887457</v>
      </c>
      <c r="F104" s="7"/>
      <c r="G104" s="7"/>
      <c r="H104" s="7"/>
      <c r="I104" s="7"/>
      <c r="J104" s="7"/>
    </row>
    <row r="105" spans="1:10" x14ac:dyDescent="0.3">
      <c r="A105" s="6"/>
      <c r="B105" s="7"/>
      <c r="C105" s="7"/>
      <c r="D105" s="7"/>
      <c r="E105" s="7"/>
      <c r="F105" s="7"/>
      <c r="G105" s="7"/>
      <c r="H105" s="7"/>
      <c r="I105" s="7"/>
      <c r="J105" s="7"/>
    </row>
    <row r="106" spans="1:10" x14ac:dyDescent="0.3">
      <c r="A106" s="6"/>
      <c r="B106" s="6" t="s">
        <v>67</v>
      </c>
      <c r="C106" s="7" t="s">
        <v>97</v>
      </c>
      <c r="D106" s="7"/>
      <c r="E106" s="7"/>
      <c r="F106" s="7"/>
      <c r="G106" s="7"/>
      <c r="H106" s="7"/>
      <c r="I106" s="7"/>
      <c r="J106" s="7"/>
    </row>
    <row r="107" spans="1:10" x14ac:dyDescent="0.3">
      <c r="A107" s="6"/>
      <c r="B107" s="7"/>
      <c r="C107" s="18"/>
      <c r="D107" s="18"/>
      <c r="E107" s="18"/>
      <c r="F107" s="18"/>
      <c r="G107" s="18"/>
      <c r="H107" s="7"/>
      <c r="I107" s="7"/>
      <c r="J107" s="7"/>
    </row>
    <row r="108" spans="1:10" x14ac:dyDescent="0.3">
      <c r="A108" s="6"/>
      <c r="B108" s="7"/>
      <c r="C108" s="17" t="s">
        <v>98</v>
      </c>
      <c r="D108" s="17"/>
      <c r="E108" s="17"/>
      <c r="F108" s="17"/>
      <c r="G108" s="17"/>
      <c r="H108" s="7"/>
      <c r="I108" s="7"/>
      <c r="J108" s="7"/>
    </row>
    <row r="109" spans="1:10" x14ac:dyDescent="0.3">
      <c r="A109" s="6"/>
      <c r="B109" s="7"/>
      <c r="C109" s="17" t="s">
        <v>99</v>
      </c>
      <c r="D109" s="17">
        <f>6-1</f>
        <v>5</v>
      </c>
      <c r="E109" s="17"/>
      <c r="F109" s="17"/>
      <c r="G109" s="17"/>
      <c r="H109" s="7"/>
      <c r="I109" s="7"/>
      <c r="J109" s="7"/>
    </row>
    <row r="110" spans="1:10" x14ac:dyDescent="0.3">
      <c r="A110" s="6"/>
      <c r="B110" s="7"/>
      <c r="C110" s="17" t="s">
        <v>100</v>
      </c>
      <c r="D110" s="17"/>
      <c r="E110" s="17"/>
      <c r="F110" s="17"/>
      <c r="G110" s="17"/>
      <c r="H110" s="7"/>
      <c r="I110" s="7"/>
      <c r="J110" s="7"/>
    </row>
    <row r="111" spans="1:10" x14ac:dyDescent="0.3">
      <c r="A111" s="6"/>
      <c r="B111" s="7"/>
      <c r="C111" s="17" t="s">
        <v>101</v>
      </c>
      <c r="D111" s="17"/>
      <c r="E111" s="17"/>
      <c r="F111" s="17"/>
      <c r="G111" s="17"/>
      <c r="H111" s="7"/>
      <c r="I111" s="7"/>
      <c r="J111" s="7"/>
    </row>
    <row r="112" spans="1:10" x14ac:dyDescent="0.3">
      <c r="A112" s="6"/>
      <c r="B112" s="7"/>
      <c r="C112" s="17"/>
      <c r="D112" s="17"/>
      <c r="E112" s="17"/>
      <c r="F112" s="17"/>
      <c r="G112" s="17"/>
      <c r="H112" s="7"/>
      <c r="I112" s="7"/>
      <c r="J112" s="7"/>
    </row>
    <row r="113" spans="1:16" x14ac:dyDescent="0.3">
      <c r="A113" s="6"/>
      <c r="B113" s="7"/>
      <c r="C113" s="17"/>
      <c r="D113" s="17"/>
      <c r="E113" s="17"/>
      <c r="F113" s="17"/>
      <c r="G113" s="17"/>
      <c r="H113" s="7"/>
      <c r="I113" s="7"/>
      <c r="J113" s="7"/>
    </row>
    <row r="114" spans="1:16" x14ac:dyDescent="0.3">
      <c r="A114" s="6"/>
      <c r="B114" s="7"/>
      <c r="C114" s="17" t="s">
        <v>103</v>
      </c>
      <c r="D114" s="17"/>
      <c r="E114" s="17" t="s">
        <v>102</v>
      </c>
      <c r="F114" s="17"/>
      <c r="G114" s="17"/>
      <c r="H114" s="7"/>
      <c r="I114" s="7"/>
      <c r="J114" s="7"/>
    </row>
    <row r="115" spans="1:16" x14ac:dyDescent="0.3">
      <c r="A115" s="6"/>
      <c r="B115" s="7"/>
      <c r="C115" s="17">
        <v>4.10792</v>
      </c>
      <c r="D115" s="17"/>
      <c r="E115" s="17">
        <v>2.0150000000000001</v>
      </c>
      <c r="F115" s="17"/>
      <c r="G115" s="17"/>
      <c r="H115" s="7"/>
      <c r="I115" s="7"/>
      <c r="J115" s="7"/>
    </row>
    <row r="116" spans="1:16" x14ac:dyDescent="0.3">
      <c r="A116" s="6"/>
      <c r="B116" s="7"/>
      <c r="C116" s="17"/>
      <c r="D116" s="17"/>
      <c r="E116" s="17"/>
      <c r="F116" s="17"/>
      <c r="G116" s="17"/>
      <c r="H116" s="7"/>
      <c r="I116" s="7"/>
      <c r="J116" s="7"/>
    </row>
    <row r="117" spans="1:16" x14ac:dyDescent="0.3">
      <c r="A117" s="6"/>
      <c r="B117" s="7"/>
      <c r="C117" s="19" t="s">
        <v>104</v>
      </c>
      <c r="D117" s="17"/>
      <c r="E117" s="17"/>
      <c r="F117" s="17"/>
      <c r="G117" s="17"/>
      <c r="H117" s="7"/>
      <c r="I117" s="7"/>
      <c r="J117" s="7"/>
    </row>
    <row r="118" spans="1:16" x14ac:dyDescent="0.3">
      <c r="A118" s="6"/>
      <c r="B118" s="7"/>
      <c r="C118" s="17"/>
      <c r="D118" s="17"/>
      <c r="E118" s="17"/>
      <c r="F118" s="17"/>
      <c r="G118" s="17"/>
      <c r="H118" s="7"/>
      <c r="I118" s="7"/>
      <c r="J118" s="7"/>
    </row>
    <row r="119" spans="1:16" x14ac:dyDescent="0.3">
      <c r="A119" s="6"/>
      <c r="B119" s="7"/>
      <c r="C119" s="17"/>
      <c r="D119" s="17"/>
      <c r="E119" s="17"/>
      <c r="F119" s="17"/>
      <c r="G119" s="17"/>
      <c r="H119" s="7"/>
      <c r="I119" s="7"/>
      <c r="J119" s="7"/>
    </row>
    <row r="120" spans="1:16" s="24" customFormat="1" x14ac:dyDescent="0.3">
      <c r="A120" s="20"/>
      <c r="B120" s="21"/>
      <c r="C120" s="22"/>
      <c r="D120" s="22"/>
      <c r="E120" s="22"/>
      <c r="F120" s="22"/>
      <c r="G120" s="23"/>
      <c r="H120" s="21"/>
      <c r="I120" s="21"/>
      <c r="J120" s="21"/>
    </row>
    <row r="121" spans="1:16" x14ac:dyDescent="0.3">
      <c r="A121" s="6"/>
      <c r="B121" s="7"/>
      <c r="C121" s="7"/>
      <c r="D121" s="7"/>
      <c r="E121" s="7"/>
      <c r="F121" s="7"/>
      <c r="G121" s="7"/>
      <c r="H121" s="7"/>
      <c r="I121" s="7"/>
      <c r="J121" s="7"/>
    </row>
    <row r="122" spans="1:16" x14ac:dyDescent="0.3">
      <c r="A122" s="6"/>
      <c r="B122" s="7"/>
      <c r="C122" s="7"/>
      <c r="D122" s="7"/>
      <c r="E122" s="7"/>
      <c r="F122" s="7"/>
      <c r="G122" s="7"/>
      <c r="H122" s="7"/>
      <c r="I122" s="7"/>
      <c r="J122" s="7"/>
    </row>
    <row r="123" spans="1:16" ht="15.6" x14ac:dyDescent="0.3">
      <c r="A123" s="6" t="s">
        <v>57</v>
      </c>
      <c r="B123" s="16" t="s">
        <v>58</v>
      </c>
      <c r="C123" s="7"/>
      <c r="D123" s="7"/>
      <c r="E123" s="7"/>
      <c r="F123" s="7"/>
      <c r="G123" s="7"/>
      <c r="H123" s="7"/>
      <c r="I123" s="7"/>
      <c r="J123" s="7"/>
    </row>
    <row r="124" spans="1:16" x14ac:dyDescent="0.3">
      <c r="A124" s="6"/>
      <c r="B124" s="7"/>
      <c r="C124" s="7"/>
      <c r="D124" s="7"/>
      <c r="E124" s="7"/>
      <c r="F124" s="7"/>
      <c r="G124" s="7"/>
      <c r="H124" s="7"/>
      <c r="I124" s="7"/>
      <c r="J124" s="7"/>
      <c r="P124" s="10"/>
    </row>
    <row r="125" spans="1:16" x14ac:dyDescent="0.3">
      <c r="A125" s="6"/>
      <c r="B125" s="7"/>
      <c r="C125" s="6"/>
      <c r="D125" s="7"/>
      <c r="E125" s="7"/>
      <c r="F125" s="7"/>
      <c r="G125" s="7"/>
      <c r="H125" s="10" t="s">
        <v>59</v>
      </c>
      <c r="I125" s="10" t="s">
        <v>62</v>
      </c>
      <c r="J125" s="10" t="s">
        <v>63</v>
      </c>
      <c r="K125" s="4" t="s">
        <v>47</v>
      </c>
    </row>
    <row r="126" spans="1:16" x14ac:dyDescent="0.3">
      <c r="A126" s="6"/>
      <c r="B126" s="7"/>
      <c r="C126" s="7"/>
      <c r="D126" s="7"/>
      <c r="E126" s="7"/>
      <c r="F126" s="7"/>
      <c r="G126" s="7"/>
      <c r="H126" s="11" t="s">
        <v>60</v>
      </c>
      <c r="I126" s="11">
        <v>30</v>
      </c>
      <c r="J126" s="11">
        <v>20</v>
      </c>
      <c r="K126" s="3">
        <v>50</v>
      </c>
    </row>
    <row r="127" spans="1:16" x14ac:dyDescent="0.3">
      <c r="A127" s="6"/>
      <c r="B127" s="7"/>
      <c r="C127" s="7"/>
      <c r="D127" s="7"/>
      <c r="E127" s="7"/>
      <c r="F127" s="7"/>
      <c r="G127" s="7"/>
      <c r="H127" s="11" t="s">
        <v>61</v>
      </c>
      <c r="I127" s="11">
        <v>10</v>
      </c>
      <c r="J127" s="11">
        <v>40</v>
      </c>
      <c r="K127" s="3">
        <v>50</v>
      </c>
    </row>
    <row r="128" spans="1:16" x14ac:dyDescent="0.3">
      <c r="A128" s="6"/>
      <c r="B128" s="7"/>
      <c r="C128" s="7"/>
      <c r="D128" s="7"/>
      <c r="E128" s="7"/>
      <c r="F128" s="7"/>
      <c r="G128" s="7"/>
      <c r="H128" s="10" t="s">
        <v>47</v>
      </c>
      <c r="I128" s="11">
        <v>40</v>
      </c>
      <c r="J128" s="11">
        <v>60</v>
      </c>
      <c r="K128" s="3">
        <v>100</v>
      </c>
    </row>
    <row r="129" spans="1:15" x14ac:dyDescent="0.3">
      <c r="A129" s="6"/>
      <c r="B129" s="7"/>
      <c r="C129" s="7"/>
      <c r="D129" s="7"/>
      <c r="E129" s="7"/>
      <c r="F129" s="7"/>
      <c r="G129" s="7"/>
      <c r="H129" s="7"/>
      <c r="I129" s="7"/>
      <c r="J129" s="7"/>
    </row>
    <row r="130" spans="1:15" x14ac:dyDescent="0.3">
      <c r="A130" s="6"/>
      <c r="B130" s="7" t="s">
        <v>64</v>
      </c>
      <c r="C130" s="7"/>
      <c r="D130" s="7"/>
      <c r="E130" s="7"/>
      <c r="F130" s="7"/>
      <c r="G130" s="7"/>
      <c r="H130" s="7"/>
      <c r="I130" s="7"/>
      <c r="J130" s="7"/>
    </row>
    <row r="131" spans="1:15" x14ac:dyDescent="0.3">
      <c r="A131" s="6"/>
      <c r="B131" s="7"/>
      <c r="C131" s="7"/>
      <c r="D131" s="7"/>
      <c r="E131" s="7"/>
      <c r="F131" s="7"/>
      <c r="G131" s="7"/>
      <c r="H131" s="7"/>
      <c r="I131" s="7"/>
      <c r="J131" s="7"/>
    </row>
    <row r="132" spans="1:15" x14ac:dyDescent="0.3">
      <c r="A132" s="6"/>
      <c r="B132" s="7"/>
      <c r="C132" s="7"/>
      <c r="D132" s="7"/>
      <c r="E132" s="7"/>
      <c r="F132" s="7"/>
      <c r="G132" s="7"/>
      <c r="H132" s="7"/>
      <c r="I132" s="7"/>
      <c r="J132" s="7"/>
      <c r="L132" s="12"/>
      <c r="M132" s="12"/>
      <c r="N132" s="12"/>
      <c r="O132" s="5"/>
    </row>
    <row r="133" spans="1:15" x14ac:dyDescent="0.3">
      <c r="A133" s="6"/>
      <c r="B133" s="6" t="s">
        <v>21</v>
      </c>
      <c r="C133" s="7" t="s">
        <v>22</v>
      </c>
      <c r="D133" s="7"/>
      <c r="E133" s="7"/>
      <c r="F133" s="7"/>
      <c r="G133" s="7"/>
      <c r="H133" s="7"/>
      <c r="I133" s="7"/>
      <c r="J133" s="7"/>
      <c r="L133" s="17"/>
      <c r="M133" s="17"/>
      <c r="N133" s="17"/>
      <c r="O133" s="2"/>
    </row>
    <row r="134" spans="1:15" x14ac:dyDescent="0.3">
      <c r="A134" s="6"/>
      <c r="B134" s="6"/>
      <c r="C134" s="7"/>
      <c r="D134" s="7" t="s">
        <v>89</v>
      </c>
      <c r="E134" s="7"/>
      <c r="F134" s="7"/>
      <c r="G134" s="7"/>
      <c r="H134" s="7"/>
      <c r="I134" s="7"/>
      <c r="J134" s="7"/>
      <c r="L134" s="17"/>
      <c r="M134" s="17"/>
      <c r="N134" s="17"/>
      <c r="O134" s="2"/>
    </row>
    <row r="135" spans="1:15" x14ac:dyDescent="0.3">
      <c r="A135" s="6"/>
      <c r="B135" s="6"/>
      <c r="C135" s="7"/>
      <c r="D135" s="6" t="s">
        <v>90</v>
      </c>
      <c r="E135" s="7"/>
      <c r="F135" s="7"/>
      <c r="G135" s="7"/>
      <c r="H135" s="7"/>
      <c r="I135" s="7"/>
      <c r="J135" s="7"/>
      <c r="L135" s="12"/>
      <c r="M135" s="17"/>
      <c r="N135" s="17"/>
      <c r="O135" s="2"/>
    </row>
    <row r="136" spans="1:15" x14ac:dyDescent="0.3">
      <c r="A136" s="6"/>
      <c r="B136" s="7"/>
      <c r="C136" s="7"/>
      <c r="D136" s="7"/>
      <c r="E136" s="7"/>
      <c r="F136" s="7"/>
      <c r="G136" s="7"/>
      <c r="H136" s="7"/>
      <c r="I136" s="7"/>
      <c r="J136" s="7"/>
    </row>
    <row r="137" spans="1:15" x14ac:dyDescent="0.3">
      <c r="A137" s="6"/>
      <c r="B137" s="7"/>
      <c r="C137" s="7"/>
      <c r="D137" s="7"/>
      <c r="E137" s="7"/>
      <c r="F137" s="7"/>
      <c r="G137" s="7"/>
      <c r="H137" s="7"/>
      <c r="I137" s="7"/>
      <c r="J137" s="7"/>
    </row>
    <row r="138" spans="1:15" x14ac:dyDescent="0.3">
      <c r="A138" s="6"/>
      <c r="B138" s="6" t="s">
        <v>25</v>
      </c>
      <c r="C138" s="7" t="s">
        <v>49</v>
      </c>
      <c r="D138" s="7"/>
      <c r="E138" s="7"/>
      <c r="F138" s="7"/>
      <c r="G138" s="7"/>
      <c r="H138" s="7"/>
      <c r="I138" s="7"/>
      <c r="J138" s="7"/>
    </row>
    <row r="139" spans="1:15" x14ac:dyDescent="0.3">
      <c r="A139" s="6"/>
      <c r="B139" s="7"/>
      <c r="C139" s="7"/>
      <c r="D139" s="7" t="s">
        <v>50</v>
      </c>
      <c r="E139" s="7"/>
      <c r="F139" s="7"/>
      <c r="G139" s="7"/>
      <c r="H139" s="7"/>
      <c r="I139" s="7"/>
      <c r="J139" s="7"/>
    </row>
    <row r="140" spans="1:15" x14ac:dyDescent="0.3">
      <c r="A140" s="6"/>
      <c r="B140" s="7"/>
      <c r="C140" s="7"/>
      <c r="D140" s="7"/>
      <c r="E140" s="7"/>
      <c r="F140" s="7"/>
      <c r="G140" s="7"/>
      <c r="H140" s="7"/>
      <c r="I140" s="7"/>
      <c r="J140" s="7"/>
    </row>
    <row r="141" spans="1:15" x14ac:dyDescent="0.3">
      <c r="A141" s="6"/>
      <c r="B141" s="7"/>
      <c r="C141" s="7"/>
      <c r="D141" s="10" t="s">
        <v>59</v>
      </c>
      <c r="E141" s="10" t="s">
        <v>62</v>
      </c>
      <c r="F141" s="10" t="s">
        <v>63</v>
      </c>
      <c r="G141" s="7"/>
      <c r="H141" s="7"/>
      <c r="I141" s="7"/>
      <c r="J141" s="7"/>
    </row>
    <row r="142" spans="1:15" x14ac:dyDescent="0.3">
      <c r="A142" s="6"/>
      <c r="B142" s="7"/>
      <c r="C142" s="7"/>
      <c r="D142" s="11" t="s">
        <v>60</v>
      </c>
      <c r="E142" s="11">
        <f>K126*I128/K128</f>
        <v>20</v>
      </c>
      <c r="F142" s="11">
        <f>K126*J128/K128</f>
        <v>30</v>
      </c>
      <c r="G142" s="7"/>
      <c r="H142" s="7"/>
      <c r="I142" s="7"/>
      <c r="J142" s="7"/>
    </row>
    <row r="143" spans="1:15" x14ac:dyDescent="0.3">
      <c r="A143" s="6"/>
      <c r="B143" s="7"/>
      <c r="C143" s="7"/>
      <c r="D143" s="11" t="s">
        <v>61</v>
      </c>
      <c r="E143" s="11">
        <f>K127*I128/K128</f>
        <v>20</v>
      </c>
      <c r="F143" s="11">
        <f>K127*J128/K128</f>
        <v>30</v>
      </c>
      <c r="G143" s="7"/>
      <c r="H143" s="7"/>
      <c r="I143" s="7"/>
      <c r="J143" s="7"/>
    </row>
    <row r="144" spans="1:15" x14ac:dyDescent="0.3">
      <c r="A144" s="6"/>
      <c r="B144" s="7"/>
      <c r="C144" s="7"/>
      <c r="D144" s="7"/>
      <c r="E144" s="7"/>
      <c r="F144" s="7"/>
      <c r="G144" s="7"/>
      <c r="H144" s="7"/>
      <c r="I144" s="7"/>
      <c r="J144" s="7"/>
    </row>
    <row r="145" spans="1:10" x14ac:dyDescent="0.3">
      <c r="A145" s="6"/>
      <c r="B145" s="6" t="s">
        <v>27</v>
      </c>
      <c r="C145" s="7" t="s">
        <v>65</v>
      </c>
      <c r="D145" s="7"/>
      <c r="E145" s="7"/>
      <c r="F145" s="7"/>
      <c r="G145" s="7"/>
      <c r="H145" s="7"/>
      <c r="I145" s="7"/>
      <c r="J145" s="7"/>
    </row>
    <row r="146" spans="1:10" x14ac:dyDescent="0.3">
      <c r="A146" s="6"/>
      <c r="B146" s="7"/>
      <c r="C146" s="7"/>
      <c r="D146" s="7" t="s">
        <v>86</v>
      </c>
      <c r="E146" s="7"/>
      <c r="F146" s="7"/>
      <c r="G146" s="7"/>
      <c r="H146" s="7"/>
      <c r="I146" s="7"/>
      <c r="J146" s="7"/>
    </row>
    <row r="147" spans="1:10" x14ac:dyDescent="0.3">
      <c r="A147" s="6"/>
      <c r="B147" s="7"/>
      <c r="C147" s="7"/>
      <c r="D147" s="7" t="s">
        <v>51</v>
      </c>
      <c r="E147" s="7"/>
      <c r="F147" s="7"/>
      <c r="G147" s="7"/>
      <c r="H147" s="7"/>
      <c r="I147" s="7"/>
      <c r="J147" s="7"/>
    </row>
    <row r="148" spans="1:10" x14ac:dyDescent="0.3">
      <c r="A148" s="6"/>
      <c r="B148" s="7"/>
      <c r="C148" s="7"/>
      <c r="D148" s="7"/>
      <c r="E148" s="7" t="s">
        <v>52</v>
      </c>
      <c r="F148" s="7"/>
      <c r="G148" s="7"/>
      <c r="H148" s="7"/>
      <c r="I148" s="7"/>
      <c r="J148" s="7"/>
    </row>
    <row r="149" spans="1:10" x14ac:dyDescent="0.3">
      <c r="A149" s="6"/>
      <c r="B149" s="7"/>
      <c r="C149" s="7"/>
      <c r="D149" s="7"/>
      <c r="E149" s="7" t="s">
        <v>53</v>
      </c>
      <c r="F149" s="7"/>
      <c r="G149" s="7"/>
      <c r="H149" s="7"/>
      <c r="I149" s="7"/>
      <c r="J149" s="7"/>
    </row>
    <row r="150" spans="1:10" x14ac:dyDescent="0.3">
      <c r="A150" s="6"/>
      <c r="B150" s="7"/>
      <c r="C150" s="7"/>
      <c r="D150" s="7"/>
      <c r="E150" s="7"/>
      <c r="F150" s="7"/>
      <c r="G150" s="7"/>
      <c r="H150" s="7"/>
      <c r="I150" s="7"/>
      <c r="J150" s="7"/>
    </row>
    <row r="151" spans="1:10" x14ac:dyDescent="0.3">
      <c r="A151" s="6"/>
      <c r="B151" s="7"/>
      <c r="C151" s="7"/>
      <c r="D151" s="7"/>
      <c r="E151" s="7"/>
      <c r="F151" s="7"/>
      <c r="G151" s="7"/>
      <c r="H151" s="7"/>
      <c r="I151" s="7"/>
      <c r="J151" s="7"/>
    </row>
    <row r="152" spans="1:10" x14ac:dyDescent="0.3">
      <c r="A152" s="6"/>
      <c r="B152" s="7"/>
      <c r="C152" s="7"/>
      <c r="D152" s="14" t="s">
        <v>54</v>
      </c>
      <c r="E152" s="14" t="s">
        <v>55</v>
      </c>
      <c r="F152" s="14" t="s">
        <v>56</v>
      </c>
      <c r="G152" s="14" t="s">
        <v>87</v>
      </c>
      <c r="H152" s="14" t="s">
        <v>88</v>
      </c>
      <c r="I152" s="7"/>
      <c r="J152" s="7"/>
    </row>
    <row r="153" spans="1:10" x14ac:dyDescent="0.3">
      <c r="A153" s="6"/>
      <c r="B153" s="7"/>
      <c r="C153" s="7"/>
      <c r="D153" s="11">
        <v>30</v>
      </c>
      <c r="E153" s="11">
        <v>20</v>
      </c>
      <c r="F153" s="11">
        <f>D153-E153</f>
        <v>10</v>
      </c>
      <c r="G153" s="11">
        <f>POWER(F153,2)</f>
        <v>100</v>
      </c>
      <c r="H153" s="11">
        <f>G153/E153</f>
        <v>5</v>
      </c>
      <c r="I153" s="7"/>
      <c r="J153" s="7"/>
    </row>
    <row r="154" spans="1:10" x14ac:dyDescent="0.3">
      <c r="A154" s="6"/>
      <c r="B154" s="7"/>
      <c r="C154" s="7"/>
      <c r="D154" s="11">
        <v>10</v>
      </c>
      <c r="E154" s="11">
        <v>20</v>
      </c>
      <c r="F154" s="11">
        <f t="shared" ref="F154:F156" si="1">D154-E154</f>
        <v>-10</v>
      </c>
      <c r="G154" s="11">
        <f t="shared" ref="G154:G156" si="2">POWER(F154,2)</f>
        <v>100</v>
      </c>
      <c r="H154" s="11">
        <f t="shared" ref="H154:H156" si="3">G154/E154</f>
        <v>5</v>
      </c>
      <c r="I154" s="7"/>
      <c r="J154" s="7"/>
    </row>
    <row r="155" spans="1:10" x14ac:dyDescent="0.3">
      <c r="A155" s="6"/>
      <c r="B155" s="7"/>
      <c r="C155" s="7"/>
      <c r="D155" s="11">
        <v>20</v>
      </c>
      <c r="E155" s="11">
        <v>30</v>
      </c>
      <c r="F155" s="11">
        <f t="shared" si="1"/>
        <v>-10</v>
      </c>
      <c r="G155" s="11">
        <f t="shared" si="2"/>
        <v>100</v>
      </c>
      <c r="H155" s="11">
        <f t="shared" si="3"/>
        <v>3.3333333333333335</v>
      </c>
      <c r="I155" s="7"/>
      <c r="J155" s="7"/>
    </row>
    <row r="156" spans="1:10" x14ac:dyDescent="0.3">
      <c r="A156" s="6"/>
      <c r="B156" s="7"/>
      <c r="C156" s="7"/>
      <c r="D156" s="11">
        <v>40</v>
      </c>
      <c r="E156" s="11">
        <v>30</v>
      </c>
      <c r="F156" s="11">
        <f t="shared" si="1"/>
        <v>10</v>
      </c>
      <c r="G156" s="11">
        <f t="shared" si="2"/>
        <v>100</v>
      </c>
      <c r="H156" s="11">
        <f t="shared" si="3"/>
        <v>3.3333333333333335</v>
      </c>
      <c r="I156" s="7"/>
      <c r="J156" s="7"/>
    </row>
    <row r="157" spans="1:10" x14ac:dyDescent="0.3">
      <c r="A157" s="6"/>
      <c r="B157" s="7"/>
      <c r="C157" s="7"/>
      <c r="D157" s="7"/>
      <c r="E157" s="7"/>
      <c r="F157" s="7"/>
      <c r="G157" s="7" t="s">
        <v>47</v>
      </c>
      <c r="H157" s="7">
        <v>16.666599999999999</v>
      </c>
      <c r="I157" s="7"/>
      <c r="J157" s="7"/>
    </row>
    <row r="158" spans="1:10" x14ac:dyDescent="0.3">
      <c r="A158" s="6"/>
      <c r="B158" s="7"/>
      <c r="C158" s="7"/>
      <c r="D158" s="7"/>
      <c r="E158" s="7"/>
      <c r="F158" s="7"/>
      <c r="G158" s="7"/>
      <c r="H158" s="7"/>
      <c r="I158" s="7"/>
      <c r="J158" s="7"/>
    </row>
    <row r="159" spans="1:10" x14ac:dyDescent="0.3">
      <c r="A159" s="6"/>
      <c r="B159" s="7"/>
      <c r="C159" s="7"/>
      <c r="D159" s="7"/>
      <c r="E159" s="7"/>
      <c r="F159" s="7"/>
      <c r="G159" s="7"/>
      <c r="H159" s="7"/>
      <c r="I159" s="7"/>
      <c r="J159" s="7"/>
    </row>
    <row r="160" spans="1:10" x14ac:dyDescent="0.3">
      <c r="A160" s="6"/>
      <c r="B160" s="7"/>
      <c r="C160" s="7"/>
      <c r="D160" s="7"/>
      <c r="E160" s="7"/>
      <c r="F160" s="7"/>
      <c r="G160" s="7"/>
      <c r="H160" s="7"/>
      <c r="I160" s="7"/>
      <c r="J160" s="7"/>
    </row>
    <row r="161" spans="1:10" x14ac:dyDescent="0.3">
      <c r="A161" s="6"/>
      <c r="B161" s="6" t="s">
        <v>30</v>
      </c>
      <c r="C161" s="7" t="s">
        <v>66</v>
      </c>
      <c r="D161" s="7"/>
      <c r="E161" s="7"/>
      <c r="F161" s="7"/>
      <c r="G161" s="7"/>
      <c r="H161" s="7"/>
      <c r="I161" s="7"/>
      <c r="J161" s="7"/>
    </row>
    <row r="162" spans="1:10" x14ac:dyDescent="0.3">
      <c r="A162" s="6"/>
      <c r="B162" s="7"/>
      <c r="C162" s="7"/>
      <c r="D162" s="7"/>
      <c r="E162" s="7">
        <f>(2-1)*(2-1)</f>
        <v>1</v>
      </c>
      <c r="F162" s="7"/>
      <c r="G162" s="7"/>
      <c r="H162" s="7"/>
      <c r="I162" s="7"/>
      <c r="J162" s="7"/>
    </row>
    <row r="163" spans="1:10" x14ac:dyDescent="0.3">
      <c r="A163" s="6"/>
      <c r="B163" s="7"/>
      <c r="C163" s="7"/>
      <c r="D163" s="7"/>
      <c r="E163" s="7"/>
      <c r="F163" s="7"/>
      <c r="G163" s="7"/>
      <c r="H163" s="7"/>
      <c r="I163" s="7"/>
      <c r="J163" s="7"/>
    </row>
    <row r="164" spans="1:10" x14ac:dyDescent="0.3">
      <c r="A164" s="6"/>
      <c r="B164" s="7"/>
      <c r="C164" s="7"/>
      <c r="D164" s="7"/>
      <c r="E164" s="7"/>
      <c r="F164" s="7"/>
      <c r="G164" s="7"/>
      <c r="H164" s="7"/>
      <c r="I164" s="7"/>
      <c r="J164" s="7"/>
    </row>
    <row r="165" spans="1:10" x14ac:dyDescent="0.3">
      <c r="A165" s="6"/>
      <c r="B165" s="6" t="s">
        <v>67</v>
      </c>
      <c r="C165" s="7" t="s">
        <v>68</v>
      </c>
      <c r="D165" s="7"/>
      <c r="E165" s="7"/>
      <c r="F165" s="7"/>
      <c r="G165" s="7"/>
      <c r="H165" s="7"/>
      <c r="I165" s="7"/>
      <c r="J165" s="7"/>
    </row>
    <row r="166" spans="1:10" x14ac:dyDescent="0.3">
      <c r="A166" s="6"/>
      <c r="B166" s="7"/>
      <c r="C166" s="7"/>
      <c r="D166" s="7"/>
      <c r="E166" s="7"/>
      <c r="F166" s="7"/>
      <c r="G166" s="7"/>
      <c r="H166" s="7"/>
      <c r="I166" s="7"/>
      <c r="J166" s="7"/>
    </row>
    <row r="167" spans="1:10" x14ac:dyDescent="0.3">
      <c r="A167" s="6"/>
      <c r="B167" s="7"/>
      <c r="C167" s="7" t="s">
        <v>69</v>
      </c>
      <c r="D167" s="7"/>
      <c r="E167" s="7"/>
      <c r="F167" s="7"/>
      <c r="G167" s="7"/>
      <c r="H167" s="7"/>
      <c r="I167" s="7"/>
      <c r="J167" s="7"/>
    </row>
    <row r="168" spans="1:10" x14ac:dyDescent="0.3">
      <c r="A168" s="6"/>
      <c r="B168" s="7"/>
      <c r="C168" s="7"/>
      <c r="D168" s="7"/>
      <c r="E168" s="7"/>
      <c r="F168" s="7"/>
      <c r="G168" s="7"/>
      <c r="H168" s="7"/>
      <c r="I168" s="7"/>
      <c r="J168" s="7"/>
    </row>
    <row r="169" spans="1:10" x14ac:dyDescent="0.3">
      <c r="A169" s="6"/>
      <c r="B169" s="7"/>
      <c r="C169" s="7"/>
      <c r="D169" s="7"/>
      <c r="E169" s="7"/>
      <c r="F169" s="7"/>
      <c r="G169" s="7"/>
      <c r="H169" s="7"/>
      <c r="I169" s="7"/>
      <c r="J169" s="7"/>
    </row>
    <row r="170" spans="1:10" x14ac:dyDescent="0.3">
      <c r="A170" s="6"/>
      <c r="B170" s="7"/>
      <c r="C170" s="7" t="s">
        <v>70</v>
      </c>
      <c r="D170" s="7"/>
      <c r="E170" s="7" t="s">
        <v>72</v>
      </c>
      <c r="F170" s="7" t="s">
        <v>71</v>
      </c>
      <c r="G170" s="7"/>
      <c r="H170" s="7"/>
      <c r="I170" s="7"/>
      <c r="J170" s="7"/>
    </row>
    <row r="171" spans="1:10" x14ac:dyDescent="0.3">
      <c r="A171" s="6"/>
      <c r="B171" s="7"/>
      <c r="C171" s="7">
        <v>16.666</v>
      </c>
      <c r="D171" s="7"/>
      <c r="E171" s="7"/>
      <c r="F171" s="7">
        <v>3.8410000000000002</v>
      </c>
      <c r="G171" s="7"/>
      <c r="H171" s="7"/>
      <c r="I171" s="7"/>
      <c r="J171" s="7"/>
    </row>
    <row r="172" spans="1:10" x14ac:dyDescent="0.3">
      <c r="A172" s="6"/>
      <c r="B172" s="7"/>
      <c r="C172" s="7"/>
      <c r="D172" s="7"/>
      <c r="E172" s="7"/>
      <c r="F172" s="7"/>
      <c r="G172" s="7"/>
      <c r="H172" s="7"/>
      <c r="I172" s="7"/>
      <c r="J172" s="7"/>
    </row>
    <row r="173" spans="1:10" x14ac:dyDescent="0.3">
      <c r="A173" s="6"/>
      <c r="B173" s="7"/>
      <c r="C173" s="7"/>
      <c r="D173" s="7"/>
      <c r="E173" s="7"/>
      <c r="F173" s="7"/>
      <c r="G173" s="7"/>
      <c r="H173" s="7"/>
      <c r="I173" s="7"/>
      <c r="J173" s="7"/>
    </row>
    <row r="174" spans="1:10" x14ac:dyDescent="0.3">
      <c r="A174" s="6"/>
      <c r="B174" s="7"/>
      <c r="C174" s="15" t="s">
        <v>73</v>
      </c>
      <c r="D174" s="7"/>
      <c r="E174" s="7"/>
      <c r="F174" s="7"/>
      <c r="G174" s="7"/>
      <c r="H174" s="7"/>
      <c r="I174" s="7"/>
      <c r="J174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Goel</dc:creator>
  <cp:lastModifiedBy>Priya Goel</cp:lastModifiedBy>
  <dcterms:created xsi:type="dcterms:W3CDTF">2026-01-06T12:12:49Z</dcterms:created>
  <dcterms:modified xsi:type="dcterms:W3CDTF">2026-01-07T06:14:47Z</dcterms:modified>
</cp:coreProperties>
</file>